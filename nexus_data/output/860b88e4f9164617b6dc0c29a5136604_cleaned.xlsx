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_downloads\"/>
    </mc:Choice>
  </mc:AlternateContent>
  <bookViews>
    <workbookView xWindow="-105" yWindow="-105" windowWidth="19425" windowHeight="10305" activeTab="1"/>
  </bookViews>
  <sheets>
    <sheet name="Agent To do" sheetId="3" r:id="rId1"/>
    <sheet name="March 25" sheetId="1" r:id="rId2"/>
    <sheet name="April 2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12" i="2" l="1"/>
  <c r="U12" i="2"/>
  <c r="AV12" i="2" s="1"/>
  <c r="B12" i="2"/>
  <c r="AM11" i="2"/>
  <c r="AV11" i="2" s="1"/>
  <c r="AK11" i="2"/>
  <c r="U11" i="2"/>
  <c r="AN11" i="2" s="1"/>
  <c r="AN10" i="2"/>
  <c r="AM10" i="2"/>
  <c r="AV10" i="2" s="1"/>
  <c r="AK10" i="2"/>
  <c r="U10" i="2"/>
  <c r="B10" i="2"/>
  <c r="AV9" i="2"/>
  <c r="AM9" i="2"/>
  <c r="AK9" i="2"/>
  <c r="U9" i="2"/>
  <c r="B9" i="2"/>
  <c r="AM8" i="2"/>
  <c r="AV8" i="2" s="1"/>
  <c r="AK8" i="2"/>
  <c r="U8" i="2"/>
  <c r="AN8" i="2" s="1"/>
  <c r="AV7" i="2"/>
  <c r="AM7" i="2"/>
  <c r="AK7" i="2"/>
  <c r="U7" i="2"/>
  <c r="AM6" i="2"/>
  <c r="AV6" i="2" s="1"/>
  <c r="U6" i="2"/>
  <c r="AN5" i="2"/>
  <c r="AM5" i="2"/>
  <c r="AV5" i="2" s="1"/>
  <c r="U5" i="2"/>
  <c r="AM4" i="2"/>
  <c r="U4" i="2"/>
  <c r="A4" i="2"/>
  <c r="AM3" i="2"/>
  <c r="U3" i="2"/>
  <c r="B3" i="2"/>
  <c r="AM2" i="2"/>
  <c r="AV2" i="2" s="1"/>
  <c r="AK2" i="2"/>
  <c r="U2" i="2"/>
  <c r="AN2" i="2" s="1"/>
  <c r="B2" i="2"/>
  <c r="AK2" i="1"/>
  <c r="AK7" i="1"/>
  <c r="AK8" i="1"/>
  <c r="AK9" i="1"/>
  <c r="AK10" i="1"/>
  <c r="AK11" i="1"/>
  <c r="AM12" i="1"/>
  <c r="U12" i="1"/>
  <c r="AV12" i="1" s="1"/>
  <c r="B12" i="1"/>
  <c r="AM11" i="1"/>
  <c r="AV11" i="1" s="1"/>
  <c r="U11" i="1"/>
  <c r="AN11" i="1" s="1"/>
  <c r="AM10" i="1"/>
  <c r="AV10" i="1" s="1"/>
  <c r="U10" i="1"/>
  <c r="AN10" i="1" s="1"/>
  <c r="B10" i="1"/>
  <c r="AM9" i="1"/>
  <c r="AV9" i="1" s="1"/>
  <c r="U9" i="1"/>
  <c r="B9" i="1"/>
  <c r="AM8" i="1"/>
  <c r="AV8" i="1" s="1"/>
  <c r="U8" i="1"/>
  <c r="AN8" i="1" s="1"/>
  <c r="AM7" i="1"/>
  <c r="AV7" i="1" s="1"/>
  <c r="U7" i="1"/>
  <c r="AM6" i="1"/>
  <c r="AV6" i="1" s="1"/>
  <c r="U6" i="1"/>
  <c r="AM5" i="1"/>
  <c r="AV5" i="1" s="1"/>
  <c r="U5" i="1"/>
  <c r="AN5" i="1" s="1"/>
  <c r="AM4" i="1"/>
  <c r="U4" i="1"/>
  <c r="A4" i="1"/>
  <c r="AM3" i="1"/>
  <c r="U3" i="1"/>
  <c r="B3" i="1"/>
  <c r="AM2" i="1"/>
  <c r="AV2" i="1" s="1"/>
  <c r="U2" i="1"/>
  <c r="AN2" i="1" s="1"/>
  <c r="B2" i="1"/>
</calcChain>
</file>

<file path=xl/sharedStrings.xml><?xml version="1.0" encoding="utf-8"?>
<sst xmlns="http://schemas.openxmlformats.org/spreadsheetml/2006/main" count="365" uniqueCount="109">
  <si>
    <t>ANNUALISED_PREMIUM</t>
  </si>
  <si>
    <t>BENEFIT_FACE_AMOUNT</t>
  </si>
  <si>
    <t>BENEFIT_NAME</t>
  </si>
  <si>
    <t>BENEFIT TERM</t>
  </si>
  <si>
    <t>BENF_EXPIRY_DATE</t>
  </si>
  <si>
    <t>BENF_LIFE_ASSD_CLIENT_ID</t>
  </si>
  <si>
    <t>BENF LIFE ASSD_DOB</t>
  </si>
  <si>
    <t>BENF_LIFE_ASSD_GENDER</t>
  </si>
  <si>
    <t>BEN_START DATE</t>
  </si>
  <si>
    <t>BIDVALUE_UEBAL</t>
  </si>
  <si>
    <t>BIDVALUE_UECAS</t>
  </si>
  <si>
    <t>BIDVALUE_VECON</t>
  </si>
  <si>
    <t>BIDVALUE_UEDEB</t>
  </si>
  <si>
    <t>BIDVALUE UEDO1</t>
  </si>
  <si>
    <t>BIDSALUE _UEGFD</t>
  </si>
  <si>
    <t>BIDVALUE UEGFI</t>
  </si>
  <si>
    <t>BIDVALUE_UEGRW</t>
  </si>
  <si>
    <t>BIDVALUE_UEHGW</t>
  </si>
  <si>
    <t>BIDVALUE_UEPEQ</t>
  </si>
  <si>
    <t>CHANNEL</t>
  </si>
  <si>
    <t>COVERAGE_START_DATE</t>
  </si>
  <si>
    <t>DTH_BEN_OPT</t>
  </si>
  <si>
    <t>EMR</t>
  </si>
  <si>
    <t>EXTRA PREMIUM</t>
  </si>
  <si>
    <t>MEDNONMED</t>
  </si>
  <si>
    <t>NO_OF_UNITS_UEBAL</t>
  </si>
  <si>
    <t>NO_OF_UNITS_UECAS</t>
  </si>
  <si>
    <t>NO_OF_UNITS_UECON</t>
  </si>
  <si>
    <t>NO_OF_UNITS_UEDEB</t>
  </si>
  <si>
    <t>NO_OF_UNITS_UEDO1</t>
  </si>
  <si>
    <t>NO OF UNITS UEGEDI</t>
  </si>
  <si>
    <t>NO_OF_UNITS_UEGFI</t>
  </si>
  <si>
    <t>NO_OF_UNITS_UEGRW</t>
  </si>
  <si>
    <t>NO_OF_UNITS_UEHGW</t>
  </si>
  <si>
    <t>NO_OF_UNITS_UEPEQ</t>
  </si>
  <si>
    <t>OCCUPATION_CODE</t>
  </si>
  <si>
    <t>ORIG_BEN_XPRY_DT</t>
  </si>
  <si>
    <t xml:space="preserve">PLAN ID </t>
  </si>
  <si>
    <t>POL ISSUE_DATE</t>
  </si>
  <si>
    <t>POL_STAT_CHNG_DT</t>
  </si>
  <si>
    <t>POLICY_NUMBER</t>
  </si>
  <si>
    <t>STATUS_CODE</t>
  </si>
  <si>
    <t>CLIENT_NAME</t>
  </si>
  <si>
    <t>SMOKER_CODE</t>
  </si>
  <si>
    <t>BUSINESS DATE</t>
  </si>
  <si>
    <t>ANNUAL_INCOME</t>
  </si>
  <si>
    <t>EDUCATION_CATEGORY</t>
  </si>
  <si>
    <t>POL_STAT_CHNG_DT_2</t>
  </si>
  <si>
    <t xml:space="preserve">PREV STATUSCODE </t>
  </si>
  <si>
    <t>Savings Plan 1</t>
  </si>
  <si>
    <t>000001235</t>
  </si>
  <si>
    <t>Female</t>
  </si>
  <si>
    <t>Agency</t>
  </si>
  <si>
    <t>Level</t>
  </si>
  <si>
    <t>Non Medical</t>
  </si>
  <si>
    <t>Teacher</t>
  </si>
  <si>
    <t>SP1</t>
  </si>
  <si>
    <t>Premium paying (regular)</t>
  </si>
  <si>
    <t>Ms ABC XYZ</t>
  </si>
  <si>
    <t>N</t>
  </si>
  <si>
    <t>Graduate</t>
  </si>
  <si>
    <t>Pending, Data Complete</t>
  </si>
  <si>
    <t>Savings Plan 2</t>
  </si>
  <si>
    <t>000001236</t>
  </si>
  <si>
    <t>MALE</t>
  </si>
  <si>
    <t>DFG Bank</t>
  </si>
  <si>
    <t>Increasing</t>
  </si>
  <si>
    <t>Salaried</t>
  </si>
  <si>
    <t>SP2-INC</t>
  </si>
  <si>
    <t>SP2</t>
  </si>
  <si>
    <t>Paid up life</t>
  </si>
  <si>
    <t>Mr CDE DER</t>
  </si>
  <si>
    <t>Post Graduate</t>
  </si>
  <si>
    <t>Lapsed</t>
  </si>
  <si>
    <t>ULIP Plan 5 Pay</t>
  </si>
  <si>
    <t>000001237</t>
  </si>
  <si>
    <t>PB</t>
  </si>
  <si>
    <t>Medical</t>
  </si>
  <si>
    <t>Businessman</t>
  </si>
  <si>
    <t>UP15</t>
  </si>
  <si>
    <t>Discontinued</t>
  </si>
  <si>
    <t>Mr EFG4 DER</t>
  </si>
  <si>
    <t>Premium Paying (regular)</t>
  </si>
  <si>
    <t>Term Plan</t>
  </si>
  <si>
    <t>Online</t>
  </si>
  <si>
    <t>TP1</t>
  </si>
  <si>
    <t>Cancer Plan</t>
  </si>
  <si>
    <t>Male</t>
  </si>
  <si>
    <t>Company employed</t>
  </si>
  <si>
    <t>CP1</t>
  </si>
  <si>
    <t>LAPSED</t>
  </si>
  <si>
    <t>AD and TPD Rider</t>
  </si>
  <si>
    <t>R01</t>
  </si>
  <si>
    <t>CI Rider</t>
  </si>
  <si>
    <t>C01</t>
  </si>
  <si>
    <t>Self Employed</t>
  </si>
  <si>
    <t>Mr JKL DER</t>
  </si>
  <si>
    <t>WOP Rider</t>
  </si>
  <si>
    <t>WOP1</t>
  </si>
  <si>
    <t>Savings Plan 1 5Pay</t>
  </si>
  <si>
    <t>000001238</t>
  </si>
  <si>
    <t>SP15-INC</t>
  </si>
  <si>
    <t>RPU_Paid up life</t>
  </si>
  <si>
    <t>Mr JRE DFG</t>
  </si>
  <si>
    <t>Graudate</t>
  </si>
  <si>
    <t>Check Missing values of Dob, SA, Gender, PREV STATUSCODE</t>
  </si>
  <si>
    <t>Remove non mandatory columns (in orange color)</t>
  </si>
  <si>
    <t>Check if Age is less than 18 years using Dob</t>
  </si>
  <si>
    <t>Check Incorrect policy status movement (highlighted in orange color)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</si>
</sst>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4" fontId="2" fillId="0" borderId="0" xfId="0" applyNumberFormat="1" applyFont="1"/>
    <xf numFmtId="2" fontId="0" fillId="0" borderId="0" xfId="0" applyNumberFormat="1"/>
    <xf numFmtId="14" fontId="0" fillId="0" borderId="0" xfId="0" applyNumberFormat="1"/>
    <xf numFmtId="0" fontId="0" fillId="0" borderId="0" xfId="0" quotePrefix="1"/>
    <xf numFmtId="0" fontId="1" fillId="0" borderId="0" xfId="0" applyFont="1"/>
    <xf numFmtId="2" fontId="1" fillId="0" borderId="0" xfId="0" applyNumberFormat="1" applyFont="1"/>
    <xf numFmtId="14" fontId="1" fillId="0" borderId="0" xfId="0" applyNumberFormat="1" applyFont="1"/>
    <xf numFmtId="0" fontId="1" fillId="0" borderId="0" xfId="0" quotePrefix="1" applyFont="1"/>
    <xf numFmtId="14" fontId="0" fillId="2" borderId="0" xfId="0" applyNumberFormat="1" applyFill="1"/>
    <xf numFmtId="0" fontId="3" fillId="0" borderId="0" xfId="0" applyFont="1"/>
    <xf numFmtId="0" fontId="3" fillId="3" borderId="0" xfId="0" applyFon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B3" sqref="B3"/>
    </sheetView>
  </sheetViews>
  <sheetFormatPr defaultRowHeight="14.25"/>
  <cols>
    <col min="2" max="2" width="50.875" bestFit="1" customWidth="1"/>
  </cols>
  <sheetData>
    <row r="2" spans="1:2">
      <c r="A2">
        <v>1</v>
      </c>
      <c r="B2" t="s">
        <v>106</v>
      </c>
    </row>
    <row r="3" spans="1:2">
      <c r="A3">
        <v>2</v>
      </c>
      <c r="B3" t="s">
        <v>107</v>
      </c>
    </row>
    <row r="4" spans="1:2">
      <c r="A4">
        <v>3</v>
      </c>
      <c r="B4" t="s">
        <v>108</v>
      </c>
    </row>
    <row r="5" spans="1:2">
      <c r="A5">
        <v>4</v>
      </c>
      <c r="B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topLeftCell="C1" workbookViewId="0">
      <selection activeCell="G6" sqref="G6"/>
    </sheetView>
  </sheetViews>
  <sheetFormatPr defaultRowHeight="14.25"/>
  <cols>
    <col min="1" max="1" width="20.25" bestFit="1" customWidth="1"/>
    <col min="2" max="2" width="21.125" bestFit="1" customWidth="1"/>
    <col min="3" max="3" width="16.5" bestFit="1" customWidth="1"/>
    <col min="4" max="4" width="12.375" bestFit="1" customWidth="1"/>
    <col min="5" max="5" width="16.875" bestFit="1" customWidth="1"/>
    <col min="6" max="6" width="24" bestFit="1" customWidth="1"/>
    <col min="7" max="7" width="18.375" bestFit="1" customWidth="1"/>
    <col min="8" max="8" width="22.5" bestFit="1" customWidth="1"/>
    <col min="9" max="9" width="14.75" bestFit="1" customWidth="1"/>
    <col min="10" max="10" width="15.25" bestFit="1" customWidth="1"/>
    <col min="11" max="11" width="15.5" bestFit="1" customWidth="1"/>
    <col min="12" max="12" width="15.875" bestFit="1" customWidth="1"/>
    <col min="13" max="13" width="15.5" bestFit="1" customWidth="1"/>
    <col min="14" max="14" width="15.375" bestFit="1" customWidth="1"/>
    <col min="15" max="15" width="16" bestFit="1" customWidth="1"/>
    <col min="16" max="16" width="14.5" bestFit="1" customWidth="1"/>
    <col min="17" max="17" width="16.125" bestFit="1" customWidth="1"/>
    <col min="18" max="18" width="16.375" bestFit="1" customWidth="1"/>
    <col min="19" max="19" width="15.625" bestFit="1" customWidth="1"/>
    <col min="20" max="20" width="8.875" bestFit="1" customWidth="1"/>
    <col min="21" max="21" width="21.125" bestFit="1" customWidth="1"/>
    <col min="22" max="22" width="12.625" bestFit="1" customWidth="1"/>
    <col min="23" max="23" width="4.375" bestFit="1" customWidth="1"/>
    <col min="24" max="24" width="14.125" bestFit="1" customWidth="1"/>
    <col min="25" max="25" width="12.125" bestFit="1" customWidth="1"/>
    <col min="26" max="26" width="18.75" bestFit="1" customWidth="1"/>
    <col min="27" max="27" width="19" bestFit="1" customWidth="1"/>
    <col min="28" max="28" width="19.5" bestFit="1" customWidth="1"/>
    <col min="29" max="29" width="19" bestFit="1" customWidth="1"/>
    <col min="30" max="30" width="19.25" bestFit="1" customWidth="1"/>
    <col min="31" max="31" width="18.25" bestFit="1" customWidth="1"/>
    <col min="32" max="32" width="18.375" bestFit="1" customWidth="1"/>
    <col min="33" max="33" width="19.625" bestFit="1" customWidth="1"/>
    <col min="34" max="34" width="19.875" bestFit="1" customWidth="1"/>
    <col min="35" max="35" width="19.125" bestFit="1" customWidth="1"/>
    <col min="36" max="36" width="18.125" bestFit="1" customWidth="1"/>
    <col min="37" max="37" width="17.375" bestFit="1" customWidth="1"/>
    <col min="38" max="38" width="8.5" bestFit="1" customWidth="1"/>
    <col min="39" max="39" width="14.5" bestFit="1" customWidth="1"/>
    <col min="40" max="40" width="18" bestFit="1" customWidth="1"/>
    <col min="41" max="41" width="15" bestFit="1" customWidth="1"/>
    <col min="42" max="42" width="21.125" bestFit="1" customWidth="1"/>
    <col min="43" max="43" width="12.25" bestFit="1" customWidth="1"/>
    <col min="44" max="44" width="13.5" bestFit="1" customWidth="1"/>
    <col min="45" max="45" width="13.625" bestFit="1" customWidth="1"/>
    <col min="46" max="46" width="15.5" bestFit="1" customWidth="1"/>
    <col min="47" max="47" width="20.75" bestFit="1" customWidth="1"/>
    <col min="48" max="48" width="19.875" bestFit="1" customWidth="1"/>
    <col min="49" max="49" width="21.25" bestFit="1" customWidth="1"/>
  </cols>
  <sheetData>
    <row r="1" spans="1:49" s="11" customFormat="1" ht="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</row>
    <row r="2" spans="1:49">
      <c r="A2">
        <v>9000</v>
      </c>
      <c r="B2">
        <f>A2*10</f>
        <v>90000</v>
      </c>
      <c r="C2" t="s">
        <v>49</v>
      </c>
      <c r="D2" s="3">
        <v>10.005479452054795</v>
      </c>
      <c r="E2" s="4">
        <v>46499</v>
      </c>
      <c r="F2" s="5" t="s">
        <v>50</v>
      </c>
      <c r="G2" s="4">
        <v>31181</v>
      </c>
      <c r="H2" t="s">
        <v>51</v>
      </c>
      <c r="I2" s="4">
        <v>42847</v>
      </c>
      <c r="T2" t="s">
        <v>52</v>
      </c>
      <c r="U2" s="4">
        <f t="shared" ref="U2:U12" si="0">I2</f>
        <v>42847</v>
      </c>
      <c r="V2" t="s">
        <v>53</v>
      </c>
      <c r="W2">
        <v>0</v>
      </c>
      <c r="X2">
        <v>0</v>
      </c>
      <c r="Y2" t="s">
        <v>54</v>
      </c>
      <c r="AJ2" t="s">
        <v>55</v>
      </c>
      <c r="AK2" s="4">
        <f>E2</f>
        <v>46499</v>
      </c>
      <c r="AL2" t="s">
        <v>56</v>
      </c>
      <c r="AM2" s="4">
        <f>I2+6</f>
        <v>42853</v>
      </c>
      <c r="AN2" s="4">
        <f>U2</f>
        <v>42847</v>
      </c>
      <c r="AO2">
        <v>142366914</v>
      </c>
      <c r="AP2" t="s">
        <v>57</v>
      </c>
      <c r="AQ2" t="s">
        <v>58</v>
      </c>
      <c r="AR2" t="s">
        <v>59</v>
      </c>
      <c r="AS2" s="4">
        <v>45747</v>
      </c>
      <c r="AT2">
        <v>250000</v>
      </c>
      <c r="AU2" t="s">
        <v>60</v>
      </c>
      <c r="AV2" s="4">
        <f>AM2</f>
        <v>42853</v>
      </c>
      <c r="AW2" t="s">
        <v>61</v>
      </c>
    </row>
    <row r="3" spans="1:49">
      <c r="A3">
        <v>1500000</v>
      </c>
      <c r="B3">
        <f>A3*10</f>
        <v>15000000</v>
      </c>
      <c r="C3" t="s">
        <v>62</v>
      </c>
      <c r="D3" s="3">
        <v>25.016438356164382</v>
      </c>
      <c r="E3" s="4">
        <v>40253</v>
      </c>
      <c r="F3" s="5" t="s">
        <v>63</v>
      </c>
      <c r="G3" s="4">
        <v>27528</v>
      </c>
      <c r="H3" t="s">
        <v>64</v>
      </c>
      <c r="I3" s="4">
        <v>38427</v>
      </c>
      <c r="T3" t="s">
        <v>65</v>
      </c>
      <c r="U3" s="4">
        <f t="shared" si="0"/>
        <v>38427</v>
      </c>
      <c r="V3" t="s">
        <v>66</v>
      </c>
      <c r="W3">
        <v>0</v>
      </c>
      <c r="X3">
        <v>0</v>
      </c>
      <c r="Y3" t="s">
        <v>54</v>
      </c>
      <c r="AJ3" t="s">
        <v>67</v>
      </c>
      <c r="AK3" s="4">
        <v>49384</v>
      </c>
      <c r="AL3" t="s">
        <v>68</v>
      </c>
      <c r="AM3" s="4">
        <f>I3+24</f>
        <v>38451</v>
      </c>
      <c r="AN3" s="4">
        <v>39592</v>
      </c>
      <c r="AO3">
        <v>142366912</v>
      </c>
      <c r="AP3" s="1" t="s">
        <v>70</v>
      </c>
      <c r="AQ3" t="s">
        <v>71</v>
      </c>
      <c r="AS3" s="4">
        <v>45747</v>
      </c>
      <c r="AU3" t="s">
        <v>72</v>
      </c>
      <c r="AV3" s="4">
        <v>39592</v>
      </c>
      <c r="AW3" s="1" t="s">
        <v>73</v>
      </c>
    </row>
    <row r="4" spans="1:49">
      <c r="A4">
        <f>75267*105%</f>
        <v>79030.350000000006</v>
      </c>
      <c r="B4">
        <v>800000</v>
      </c>
      <c r="C4" t="s">
        <v>74</v>
      </c>
      <c r="D4" s="3">
        <v>5.0054794520547947</v>
      </c>
      <c r="E4" s="4">
        <v>43906</v>
      </c>
      <c r="F4" s="5" t="s">
        <v>75</v>
      </c>
      <c r="G4" s="4">
        <v>28625</v>
      </c>
      <c r="H4" t="s">
        <v>64</v>
      </c>
      <c r="I4" s="4">
        <v>42079</v>
      </c>
      <c r="Q4">
        <v>37500</v>
      </c>
      <c r="R4">
        <v>20000</v>
      </c>
      <c r="T4" t="s">
        <v>76</v>
      </c>
      <c r="U4" s="4">
        <f t="shared" si="0"/>
        <v>42079</v>
      </c>
      <c r="V4" t="s">
        <v>53</v>
      </c>
      <c r="W4">
        <v>5</v>
      </c>
      <c r="X4">
        <v>267</v>
      </c>
      <c r="Y4" t="s">
        <v>77</v>
      </c>
      <c r="AG4">
        <v>1500</v>
      </c>
      <c r="AH4">
        <v>2000</v>
      </c>
      <c r="AJ4" t="s">
        <v>78</v>
      </c>
      <c r="AK4" s="4">
        <v>45732</v>
      </c>
      <c r="AL4" t="s">
        <v>79</v>
      </c>
      <c r="AM4" s="4">
        <f>I4+21</f>
        <v>42100</v>
      </c>
      <c r="AO4">
        <v>142366913</v>
      </c>
      <c r="AP4" t="s">
        <v>80</v>
      </c>
      <c r="AQ4" t="s">
        <v>81</v>
      </c>
      <c r="AR4" t="s">
        <v>59</v>
      </c>
      <c r="AS4" s="4">
        <v>45747</v>
      </c>
      <c r="AU4" t="s">
        <v>72</v>
      </c>
      <c r="AV4" s="4">
        <v>43206</v>
      </c>
      <c r="AW4" t="s">
        <v>82</v>
      </c>
    </row>
    <row r="5" spans="1:49">
      <c r="A5">
        <v>12645</v>
      </c>
      <c r="B5">
        <v>10000000</v>
      </c>
      <c r="C5" t="s">
        <v>83</v>
      </c>
      <c r="D5" s="3">
        <v>20</v>
      </c>
      <c r="E5" s="4">
        <v>50924</v>
      </c>
      <c r="F5" s="5" t="s">
        <v>50</v>
      </c>
      <c r="G5" s="4">
        <v>31181</v>
      </c>
      <c r="H5" t="s">
        <v>51</v>
      </c>
      <c r="I5" s="4">
        <v>43620</v>
      </c>
      <c r="T5" t="s">
        <v>84</v>
      </c>
      <c r="U5" s="4">
        <f t="shared" si="0"/>
        <v>43620</v>
      </c>
      <c r="V5" t="s">
        <v>53</v>
      </c>
      <c r="W5">
        <v>0</v>
      </c>
      <c r="X5">
        <v>0</v>
      </c>
      <c r="Y5" t="s">
        <v>77</v>
      </c>
      <c r="AJ5" t="s">
        <v>55</v>
      </c>
      <c r="AK5" s="4">
        <v>61883</v>
      </c>
      <c r="AL5" t="s">
        <v>85</v>
      </c>
      <c r="AM5" s="4">
        <f>I5+35</f>
        <v>43655</v>
      </c>
      <c r="AN5" s="4">
        <f>U5</f>
        <v>43620</v>
      </c>
      <c r="AO5">
        <v>142366915</v>
      </c>
      <c r="AP5" t="s">
        <v>57</v>
      </c>
      <c r="AQ5" t="s">
        <v>58</v>
      </c>
      <c r="AR5" t="s">
        <v>59</v>
      </c>
      <c r="AS5" s="4">
        <v>45747</v>
      </c>
      <c r="AT5">
        <v>500000</v>
      </c>
      <c r="AU5" t="s">
        <v>60</v>
      </c>
      <c r="AV5" s="4">
        <f t="shared" ref="AV5:AV11" si="1">AM5</f>
        <v>43655</v>
      </c>
      <c r="AW5" t="s">
        <v>61</v>
      </c>
    </row>
    <row r="6" spans="1:49">
      <c r="A6">
        <v>25442</v>
      </c>
      <c r="B6">
        <v>2500000</v>
      </c>
      <c r="C6" t="s">
        <v>86</v>
      </c>
      <c r="D6" s="3">
        <v>30.02</v>
      </c>
      <c r="E6" s="4">
        <v>54269</v>
      </c>
      <c r="F6" s="5" t="s">
        <v>63</v>
      </c>
      <c r="G6" s="14">
        <v>34833</v>
      </c>
      <c r="H6" t="s">
        <v>87</v>
      </c>
      <c r="I6" s="4">
        <v>43312</v>
      </c>
      <c r="T6" t="s">
        <v>76</v>
      </c>
      <c r="U6" s="4">
        <f t="shared" si="0"/>
        <v>43312</v>
      </c>
      <c r="W6">
        <v>0</v>
      </c>
      <c r="X6">
        <v>0</v>
      </c>
      <c r="Y6" t="s">
        <v>77</v>
      </c>
      <c r="AJ6" t="s">
        <v>88</v>
      </c>
      <c r="AK6" s="4">
        <v>54270</v>
      </c>
      <c r="AL6" t="s">
        <v>89</v>
      </c>
      <c r="AM6" s="4">
        <f>I6+32</f>
        <v>43344</v>
      </c>
      <c r="AN6" s="4"/>
      <c r="AO6">
        <v>142366932</v>
      </c>
      <c r="AP6" t="s">
        <v>90</v>
      </c>
      <c r="AQ6" t="s">
        <v>71</v>
      </c>
      <c r="AR6" t="s">
        <v>59</v>
      </c>
      <c r="AS6" s="4">
        <v>45747</v>
      </c>
      <c r="AT6">
        <v>500000</v>
      </c>
      <c r="AU6" t="s">
        <v>72</v>
      </c>
      <c r="AV6" s="4">
        <f t="shared" si="1"/>
        <v>43344</v>
      </c>
      <c r="AW6" t="s">
        <v>82</v>
      </c>
    </row>
    <row r="7" spans="1:49">
      <c r="A7">
        <v>2300</v>
      </c>
      <c r="B7">
        <v>5000000</v>
      </c>
      <c r="C7" t="s">
        <v>91</v>
      </c>
      <c r="D7" s="3">
        <v>10.005479452054795</v>
      </c>
      <c r="E7" s="4">
        <v>46499</v>
      </c>
      <c r="F7" s="5" t="s">
        <v>50</v>
      </c>
      <c r="G7" s="4">
        <v>31181</v>
      </c>
      <c r="H7" t="s">
        <v>51</v>
      </c>
      <c r="I7" s="4">
        <v>42847</v>
      </c>
      <c r="T7" t="s">
        <v>52</v>
      </c>
      <c r="U7" s="4">
        <f t="shared" si="0"/>
        <v>42847</v>
      </c>
      <c r="V7" t="s">
        <v>53</v>
      </c>
      <c r="W7">
        <v>0</v>
      </c>
      <c r="X7">
        <v>0</v>
      </c>
      <c r="Y7" t="s">
        <v>54</v>
      </c>
      <c r="AJ7" t="s">
        <v>55</v>
      </c>
      <c r="AK7" s="4">
        <f>E7</f>
        <v>46499</v>
      </c>
      <c r="AL7" t="s">
        <v>92</v>
      </c>
      <c r="AM7" s="4">
        <f>I7+6</f>
        <v>42853</v>
      </c>
      <c r="AN7" s="4">
        <v>44705</v>
      </c>
      <c r="AO7">
        <v>142366914</v>
      </c>
      <c r="AP7" t="s">
        <v>57</v>
      </c>
      <c r="AQ7" t="s">
        <v>58</v>
      </c>
      <c r="AS7" s="4">
        <v>45747</v>
      </c>
      <c r="AT7">
        <v>250000</v>
      </c>
      <c r="AU7" t="s">
        <v>60</v>
      </c>
      <c r="AV7" s="4">
        <f t="shared" si="1"/>
        <v>42853</v>
      </c>
      <c r="AW7" t="s">
        <v>61</v>
      </c>
    </row>
    <row r="8" spans="1:49">
      <c r="A8">
        <v>15248</v>
      </c>
      <c r="B8">
        <v>1000000</v>
      </c>
      <c r="C8" t="s">
        <v>93</v>
      </c>
      <c r="D8" s="3">
        <v>15.05</v>
      </c>
      <c r="E8" s="4">
        <v>49099</v>
      </c>
      <c r="F8" s="5" t="s">
        <v>50</v>
      </c>
      <c r="G8" s="4">
        <v>31181</v>
      </c>
      <c r="H8" t="s">
        <v>51</v>
      </c>
      <c r="I8" s="4">
        <v>43620</v>
      </c>
      <c r="T8" t="s">
        <v>84</v>
      </c>
      <c r="U8" s="4">
        <f t="shared" si="0"/>
        <v>43620</v>
      </c>
      <c r="V8" t="s">
        <v>53</v>
      </c>
      <c r="W8">
        <v>0</v>
      </c>
      <c r="X8">
        <v>0</v>
      </c>
      <c r="Y8" t="s">
        <v>77</v>
      </c>
      <c r="AJ8" t="s">
        <v>55</v>
      </c>
      <c r="AK8" s="4">
        <f>E8</f>
        <v>49099</v>
      </c>
      <c r="AL8" t="s">
        <v>94</v>
      </c>
      <c r="AM8" s="4">
        <f>I8+35</f>
        <v>43655</v>
      </c>
      <c r="AN8" s="4">
        <f>U8</f>
        <v>43620</v>
      </c>
      <c r="AO8">
        <v>142366915</v>
      </c>
      <c r="AP8" t="s">
        <v>57</v>
      </c>
      <c r="AQ8" t="s">
        <v>58</v>
      </c>
      <c r="AS8" s="4">
        <v>45747</v>
      </c>
      <c r="AT8">
        <v>500000</v>
      </c>
      <c r="AU8" t="s">
        <v>60</v>
      </c>
      <c r="AV8" s="4">
        <f t="shared" si="1"/>
        <v>43655</v>
      </c>
      <c r="AW8" t="s">
        <v>61</v>
      </c>
    </row>
    <row r="9" spans="1:49">
      <c r="A9" s="6">
        <v>25420</v>
      </c>
      <c r="B9" s="6">
        <f>A9*11.25</f>
        <v>285975</v>
      </c>
      <c r="C9" s="6" t="s">
        <v>62</v>
      </c>
      <c r="D9" s="7">
        <v>25.016438356164382</v>
      </c>
      <c r="E9" s="8">
        <v>51207</v>
      </c>
      <c r="F9" s="9" t="s">
        <v>75</v>
      </c>
      <c r="G9" s="8">
        <v>27894</v>
      </c>
      <c r="H9" s="6" t="s">
        <v>64</v>
      </c>
      <c r="I9" s="8">
        <v>43902</v>
      </c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65</v>
      </c>
      <c r="U9" s="8">
        <f t="shared" si="0"/>
        <v>43902</v>
      </c>
      <c r="V9" s="6" t="s">
        <v>53</v>
      </c>
      <c r="W9" s="6">
        <v>0</v>
      </c>
      <c r="X9" s="6">
        <v>0</v>
      </c>
      <c r="Y9" s="6" t="s">
        <v>54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 t="s">
        <v>95</v>
      </c>
      <c r="AK9" s="8">
        <f>E9</f>
        <v>51207</v>
      </c>
      <c r="AL9" t="s">
        <v>69</v>
      </c>
      <c r="AM9" s="8">
        <f>I9+10</f>
        <v>43912</v>
      </c>
      <c r="AN9" s="8">
        <v>39592</v>
      </c>
      <c r="AO9" s="6">
        <v>142366920</v>
      </c>
      <c r="AP9" s="6" t="s">
        <v>57</v>
      </c>
      <c r="AQ9" s="6" t="s">
        <v>96</v>
      </c>
      <c r="AR9" s="6"/>
      <c r="AS9" s="8">
        <v>45747</v>
      </c>
      <c r="AT9" s="6"/>
      <c r="AU9" s="6"/>
      <c r="AV9" s="8">
        <f t="shared" si="1"/>
        <v>43912</v>
      </c>
      <c r="AW9" s="6" t="s">
        <v>61</v>
      </c>
    </row>
    <row r="10" spans="1:49">
      <c r="A10">
        <v>1250</v>
      </c>
      <c r="B10">
        <f>A9</f>
        <v>25420</v>
      </c>
      <c r="C10" t="s">
        <v>97</v>
      </c>
      <c r="D10" s="3">
        <v>25.016438356164382</v>
      </c>
      <c r="E10" s="4">
        <v>51207</v>
      </c>
      <c r="F10" s="5" t="s">
        <v>75</v>
      </c>
      <c r="G10" s="4">
        <v>27894</v>
      </c>
      <c r="H10" t="s">
        <v>64</v>
      </c>
      <c r="I10" s="4">
        <v>43902</v>
      </c>
      <c r="T10" t="s">
        <v>65</v>
      </c>
      <c r="U10" s="4">
        <f t="shared" si="0"/>
        <v>43902</v>
      </c>
      <c r="V10" t="s">
        <v>53</v>
      </c>
      <c r="W10">
        <v>0</v>
      </c>
      <c r="X10">
        <v>0</v>
      </c>
      <c r="Y10" t="s">
        <v>54</v>
      </c>
      <c r="AJ10" t="s">
        <v>95</v>
      </c>
      <c r="AK10" s="4">
        <f>E10</f>
        <v>51207</v>
      </c>
      <c r="AL10" t="s">
        <v>98</v>
      </c>
      <c r="AM10" s="4">
        <f>I10+10</f>
        <v>43912</v>
      </c>
      <c r="AN10" s="4">
        <f>U10</f>
        <v>43902</v>
      </c>
      <c r="AO10">
        <v>142366920</v>
      </c>
      <c r="AP10" t="s">
        <v>57</v>
      </c>
      <c r="AQ10" t="s">
        <v>96</v>
      </c>
      <c r="AS10" s="4">
        <v>45747</v>
      </c>
      <c r="AV10" s="4">
        <f t="shared" si="1"/>
        <v>43912</v>
      </c>
      <c r="AW10" t="s">
        <v>61</v>
      </c>
    </row>
    <row r="11" spans="1:49">
      <c r="A11">
        <v>5240</v>
      </c>
      <c r="B11">
        <v>1000000</v>
      </c>
      <c r="C11" t="s">
        <v>93</v>
      </c>
      <c r="D11" s="3">
        <v>15.05</v>
      </c>
      <c r="E11" s="4">
        <v>49424</v>
      </c>
      <c r="F11" s="5" t="s">
        <v>75</v>
      </c>
      <c r="G11" s="4">
        <v>27894</v>
      </c>
      <c r="H11" t="s">
        <v>64</v>
      </c>
      <c r="I11" s="4">
        <v>43946</v>
      </c>
      <c r="T11" t="s">
        <v>65</v>
      </c>
      <c r="U11" s="4">
        <f t="shared" si="0"/>
        <v>43946</v>
      </c>
      <c r="V11" t="s">
        <v>53</v>
      </c>
      <c r="W11">
        <v>0</v>
      </c>
      <c r="X11">
        <v>0</v>
      </c>
      <c r="Y11" t="s">
        <v>77</v>
      </c>
      <c r="AJ11" t="s">
        <v>95</v>
      </c>
      <c r="AK11" s="4">
        <f>E11</f>
        <v>49424</v>
      </c>
      <c r="AL11" t="s">
        <v>94</v>
      </c>
      <c r="AM11" s="4">
        <f>I11+25</f>
        <v>43971</v>
      </c>
      <c r="AN11" s="4">
        <f>U11</f>
        <v>43946</v>
      </c>
      <c r="AO11">
        <v>142366920</v>
      </c>
      <c r="AP11" t="s">
        <v>57</v>
      </c>
      <c r="AQ11" t="s">
        <v>96</v>
      </c>
      <c r="AR11" t="s">
        <v>59</v>
      </c>
      <c r="AS11" s="4">
        <v>45747</v>
      </c>
      <c r="AV11" s="4">
        <f t="shared" si="1"/>
        <v>43971</v>
      </c>
      <c r="AW11" t="s">
        <v>61</v>
      </c>
    </row>
    <row r="12" spans="1:49">
      <c r="A12" s="6">
        <v>85748</v>
      </c>
      <c r="B12" s="6">
        <f>A12*9.75</f>
        <v>836043</v>
      </c>
      <c r="C12" s="6" t="s">
        <v>99</v>
      </c>
      <c r="D12" s="7">
        <v>5.0199999999999996</v>
      </c>
      <c r="E12" s="8">
        <v>46082</v>
      </c>
      <c r="F12" s="9" t="s">
        <v>100</v>
      </c>
      <c r="G12" s="8">
        <v>31911</v>
      </c>
      <c r="H12" s="6" t="s">
        <v>64</v>
      </c>
      <c r="I12" s="8">
        <v>44256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 t="s">
        <v>65</v>
      </c>
      <c r="U12" s="8">
        <f t="shared" si="0"/>
        <v>44256</v>
      </c>
      <c r="V12" s="6" t="s">
        <v>66</v>
      </c>
      <c r="W12" s="6">
        <v>0</v>
      </c>
      <c r="X12" s="6">
        <v>0</v>
      </c>
      <c r="Y12" s="6" t="s">
        <v>54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 t="s">
        <v>95</v>
      </c>
      <c r="AK12" s="8">
        <v>49735</v>
      </c>
      <c r="AL12" t="s">
        <v>101</v>
      </c>
      <c r="AM12" s="8">
        <f>I12+10</f>
        <v>44266</v>
      </c>
      <c r="AN12" s="8">
        <v>45505</v>
      </c>
      <c r="AO12" s="6">
        <v>142366934</v>
      </c>
      <c r="AP12" s="6" t="s">
        <v>102</v>
      </c>
      <c r="AQ12" s="6" t="s">
        <v>103</v>
      </c>
      <c r="AR12" s="6"/>
      <c r="AS12" s="8">
        <v>45747</v>
      </c>
      <c r="AT12" s="6"/>
      <c r="AU12" s="6" t="s">
        <v>104</v>
      </c>
      <c r="AV12" s="8">
        <f>U12</f>
        <v>44256</v>
      </c>
      <c r="AW12" s="6" t="s">
        <v>82</v>
      </c>
    </row>
    <row r="14" spans="1:49">
      <c r="E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workbookViewId="0">
      <selection activeCell="F17" sqref="F17"/>
    </sheetView>
  </sheetViews>
  <sheetFormatPr defaultRowHeight="14.25"/>
  <cols>
    <col min="1" max="1" width="20.25" bestFit="1" customWidth="1"/>
    <col min="2" max="2" width="21.125" bestFit="1" customWidth="1"/>
    <col min="3" max="3" width="16.5" bestFit="1" customWidth="1"/>
    <col min="4" max="4" width="12.375" bestFit="1" customWidth="1"/>
    <col min="5" max="5" width="16.875" bestFit="1" customWidth="1"/>
    <col min="6" max="6" width="24" bestFit="1" customWidth="1"/>
    <col min="7" max="7" width="18.375" bestFit="1" customWidth="1"/>
    <col min="8" max="8" width="22.5" bestFit="1" customWidth="1"/>
    <col min="9" max="9" width="14.75" bestFit="1" customWidth="1"/>
    <col min="10" max="10" width="15.25" bestFit="1" customWidth="1"/>
    <col min="11" max="11" width="15.5" bestFit="1" customWidth="1"/>
    <col min="12" max="12" width="15.875" bestFit="1" customWidth="1"/>
    <col min="13" max="13" width="15.5" bestFit="1" customWidth="1"/>
    <col min="14" max="14" width="15.375" bestFit="1" customWidth="1"/>
    <col min="15" max="15" width="16" bestFit="1" customWidth="1"/>
    <col min="16" max="16" width="14.5" bestFit="1" customWidth="1"/>
    <col min="17" max="17" width="16.125" bestFit="1" customWidth="1"/>
    <col min="18" max="18" width="16.375" bestFit="1" customWidth="1"/>
    <col min="19" max="19" width="15.625" bestFit="1" customWidth="1"/>
    <col min="20" max="20" width="8.875" bestFit="1" customWidth="1"/>
    <col min="21" max="21" width="21.125" bestFit="1" customWidth="1"/>
    <col min="22" max="22" width="12.625" bestFit="1" customWidth="1"/>
    <col min="23" max="23" width="4.375" bestFit="1" customWidth="1"/>
    <col min="24" max="24" width="14.125" bestFit="1" customWidth="1"/>
    <col min="25" max="25" width="12.125" bestFit="1" customWidth="1"/>
    <col min="26" max="26" width="18.75" bestFit="1" customWidth="1"/>
    <col min="27" max="27" width="19" bestFit="1" customWidth="1"/>
    <col min="28" max="28" width="19.5" bestFit="1" customWidth="1"/>
    <col min="29" max="29" width="19" bestFit="1" customWidth="1"/>
    <col min="30" max="30" width="19.25" bestFit="1" customWidth="1"/>
    <col min="31" max="31" width="18.25" bestFit="1" customWidth="1"/>
    <col min="32" max="32" width="18.375" bestFit="1" customWidth="1"/>
    <col min="33" max="33" width="19.625" bestFit="1" customWidth="1"/>
    <col min="34" max="34" width="19.875" bestFit="1" customWidth="1"/>
    <col min="35" max="35" width="19.125" bestFit="1" customWidth="1"/>
    <col min="36" max="36" width="18.125" bestFit="1" customWidth="1"/>
    <col min="37" max="37" width="17.375" bestFit="1" customWidth="1"/>
    <col min="38" max="38" width="8.5" bestFit="1" customWidth="1"/>
    <col min="39" max="39" width="14.5" bestFit="1" customWidth="1"/>
    <col min="40" max="40" width="18" bestFit="1" customWidth="1"/>
    <col min="41" max="41" width="15" bestFit="1" customWidth="1"/>
    <col min="42" max="42" width="21.125" bestFit="1" customWidth="1"/>
    <col min="43" max="43" width="12.25" bestFit="1" customWidth="1"/>
    <col min="44" max="44" width="13.5" bestFit="1" customWidth="1"/>
    <col min="45" max="45" width="13.625" bestFit="1" customWidth="1"/>
    <col min="46" max="46" width="15.5" bestFit="1" customWidth="1"/>
    <col min="47" max="47" width="20.75" bestFit="1" customWidth="1"/>
    <col min="48" max="48" width="19.875" bestFit="1" customWidth="1"/>
    <col min="49" max="49" width="21.25" bestFit="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9000</v>
      </c>
      <c r="B2">
        <f>A2*10</f>
        <v>90000</v>
      </c>
      <c r="C2" t="s">
        <v>49</v>
      </c>
      <c r="D2" s="3">
        <v>10.005479452054795</v>
      </c>
      <c r="E2" s="4">
        <v>46499</v>
      </c>
      <c r="F2" s="5" t="s">
        <v>50</v>
      </c>
      <c r="G2" s="4">
        <v>31181</v>
      </c>
      <c r="H2" t="s">
        <v>51</v>
      </c>
      <c r="I2" s="4">
        <v>42847</v>
      </c>
      <c r="T2" t="s">
        <v>52</v>
      </c>
      <c r="U2" s="4">
        <f t="shared" ref="U2:U12" si="0">I2</f>
        <v>42847</v>
      </c>
      <c r="V2" t="s">
        <v>53</v>
      </c>
      <c r="W2">
        <v>0</v>
      </c>
      <c r="X2">
        <v>0</v>
      </c>
      <c r="Y2" t="s">
        <v>54</v>
      </c>
      <c r="AJ2" t="s">
        <v>55</v>
      </c>
      <c r="AK2" s="4">
        <f>E2</f>
        <v>46499</v>
      </c>
      <c r="AL2" t="s">
        <v>56</v>
      </c>
      <c r="AM2" s="4">
        <f>I2+6</f>
        <v>42853</v>
      </c>
      <c r="AN2" s="4">
        <f>U2</f>
        <v>42847</v>
      </c>
      <c r="AO2">
        <v>142366914</v>
      </c>
      <c r="AP2" t="s">
        <v>57</v>
      </c>
      <c r="AQ2" t="s">
        <v>58</v>
      </c>
      <c r="AR2" t="s">
        <v>59</v>
      </c>
      <c r="AS2" s="4">
        <v>45747</v>
      </c>
      <c r="AT2">
        <v>250000</v>
      </c>
      <c r="AU2" t="s">
        <v>60</v>
      </c>
      <c r="AV2" s="4">
        <f>AM2</f>
        <v>42853</v>
      </c>
      <c r="AW2" t="s">
        <v>57</v>
      </c>
    </row>
    <row r="3" spans="1:49">
      <c r="A3">
        <v>1500000</v>
      </c>
      <c r="B3">
        <f>A3*10</f>
        <v>15000000</v>
      </c>
      <c r="C3" t="s">
        <v>62</v>
      </c>
      <c r="D3" s="3">
        <v>25.016438356164382</v>
      </c>
      <c r="E3" s="4">
        <v>40253</v>
      </c>
      <c r="F3" s="5" t="s">
        <v>63</v>
      </c>
      <c r="G3" s="4">
        <v>27528</v>
      </c>
      <c r="H3" t="s">
        <v>64</v>
      </c>
      <c r="I3" s="4">
        <v>38427</v>
      </c>
      <c r="T3" t="s">
        <v>65</v>
      </c>
      <c r="U3" s="4">
        <f t="shared" si="0"/>
        <v>38427</v>
      </c>
      <c r="V3" t="s">
        <v>66</v>
      </c>
      <c r="W3">
        <v>0</v>
      </c>
      <c r="X3">
        <v>0</v>
      </c>
      <c r="Y3" t="s">
        <v>54</v>
      </c>
      <c r="AJ3" t="s">
        <v>67</v>
      </c>
      <c r="AK3" s="4">
        <v>49384</v>
      </c>
      <c r="AL3" t="s">
        <v>68</v>
      </c>
      <c r="AM3" s="4">
        <f>I3+24</f>
        <v>38451</v>
      </c>
      <c r="AN3" s="4">
        <v>39592</v>
      </c>
      <c r="AO3">
        <v>142366912</v>
      </c>
      <c r="AP3" s="13" t="s">
        <v>70</v>
      </c>
      <c r="AQ3" t="s">
        <v>71</v>
      </c>
      <c r="AS3" s="4">
        <v>45747</v>
      </c>
      <c r="AU3" t="s">
        <v>72</v>
      </c>
      <c r="AV3" s="4">
        <v>39592</v>
      </c>
      <c r="AW3" t="s">
        <v>70</v>
      </c>
    </row>
    <row r="4" spans="1:49">
      <c r="A4">
        <f>75267*105%</f>
        <v>79030.350000000006</v>
      </c>
      <c r="B4">
        <v>800000</v>
      </c>
      <c r="C4" t="s">
        <v>74</v>
      </c>
      <c r="D4" s="3">
        <v>5.0054794520547947</v>
      </c>
      <c r="E4" s="4">
        <v>43906</v>
      </c>
      <c r="F4" s="5" t="s">
        <v>75</v>
      </c>
      <c r="G4" s="4">
        <v>28625</v>
      </c>
      <c r="H4" t="s">
        <v>64</v>
      </c>
      <c r="I4" s="4">
        <v>42079</v>
      </c>
      <c r="Q4">
        <v>37500</v>
      </c>
      <c r="R4">
        <v>20000</v>
      </c>
      <c r="T4" t="s">
        <v>76</v>
      </c>
      <c r="U4" s="4">
        <f t="shared" si="0"/>
        <v>42079</v>
      </c>
      <c r="V4" t="s">
        <v>53</v>
      </c>
      <c r="W4">
        <v>5</v>
      </c>
      <c r="X4">
        <v>267</v>
      </c>
      <c r="Y4" t="s">
        <v>77</v>
      </c>
      <c r="AG4">
        <v>1500</v>
      </c>
      <c r="AH4">
        <v>2000</v>
      </c>
      <c r="AJ4" t="s">
        <v>78</v>
      </c>
      <c r="AK4" s="4">
        <v>45732</v>
      </c>
      <c r="AL4" t="s">
        <v>79</v>
      </c>
      <c r="AM4" s="4">
        <f>I4+21</f>
        <v>42100</v>
      </c>
      <c r="AO4">
        <v>142366913</v>
      </c>
      <c r="AP4" t="s">
        <v>80</v>
      </c>
      <c r="AQ4" t="s">
        <v>81</v>
      </c>
      <c r="AR4" t="s">
        <v>59</v>
      </c>
      <c r="AS4" s="4">
        <v>45747</v>
      </c>
      <c r="AU4" t="s">
        <v>72</v>
      </c>
      <c r="AV4" s="4">
        <v>43206</v>
      </c>
      <c r="AW4" t="s">
        <v>80</v>
      </c>
    </row>
    <row r="5" spans="1:49">
      <c r="A5">
        <v>12645</v>
      </c>
      <c r="B5">
        <v>10000000</v>
      </c>
      <c r="C5" t="s">
        <v>83</v>
      </c>
      <c r="D5" s="3">
        <v>20</v>
      </c>
      <c r="E5" s="4">
        <v>50924</v>
      </c>
      <c r="F5" s="5" t="s">
        <v>50</v>
      </c>
      <c r="G5" s="4">
        <v>31181</v>
      </c>
      <c r="H5" t="s">
        <v>51</v>
      </c>
      <c r="I5" s="4">
        <v>43620</v>
      </c>
      <c r="T5" t="s">
        <v>84</v>
      </c>
      <c r="U5" s="4">
        <f t="shared" si="0"/>
        <v>43620</v>
      </c>
      <c r="V5" t="s">
        <v>53</v>
      </c>
      <c r="W5">
        <v>0</v>
      </c>
      <c r="X5">
        <v>0</v>
      </c>
      <c r="Y5" t="s">
        <v>77</v>
      </c>
      <c r="AJ5" t="s">
        <v>55</v>
      </c>
      <c r="AK5" s="4">
        <v>61883</v>
      </c>
      <c r="AL5" t="s">
        <v>85</v>
      </c>
      <c r="AM5" s="4">
        <f>I5+35</f>
        <v>43655</v>
      </c>
      <c r="AN5" s="4">
        <f>U5</f>
        <v>43620</v>
      </c>
      <c r="AO5">
        <v>142366915</v>
      </c>
      <c r="AP5" t="s">
        <v>57</v>
      </c>
      <c r="AQ5" t="s">
        <v>58</v>
      </c>
      <c r="AR5" t="s">
        <v>59</v>
      </c>
      <c r="AS5" s="4">
        <v>45747</v>
      </c>
      <c r="AT5">
        <v>500000</v>
      </c>
      <c r="AU5" t="s">
        <v>60</v>
      </c>
      <c r="AV5" s="4">
        <f t="shared" ref="AV5:AV11" si="1">AM5</f>
        <v>43655</v>
      </c>
      <c r="AW5" t="s">
        <v>57</v>
      </c>
    </row>
    <row r="6" spans="1:49">
      <c r="A6">
        <v>25442</v>
      </c>
      <c r="B6">
        <v>2500000</v>
      </c>
      <c r="C6" t="s">
        <v>86</v>
      </c>
      <c r="D6" s="3">
        <v>30.02</v>
      </c>
      <c r="E6" s="4">
        <v>54269</v>
      </c>
      <c r="F6" s="5" t="s">
        <v>63</v>
      </c>
      <c r="G6" s="10">
        <v>45791</v>
      </c>
      <c r="I6" s="4">
        <v>43312</v>
      </c>
      <c r="T6" t="s">
        <v>76</v>
      </c>
      <c r="U6" s="4">
        <f t="shared" si="0"/>
        <v>43312</v>
      </c>
      <c r="W6">
        <v>0</v>
      </c>
      <c r="X6">
        <v>0</v>
      </c>
      <c r="Y6" t="s">
        <v>77</v>
      </c>
      <c r="AJ6" t="s">
        <v>88</v>
      </c>
      <c r="AK6" s="4">
        <v>54270</v>
      </c>
      <c r="AL6" t="s">
        <v>89</v>
      </c>
      <c r="AM6" s="4">
        <f>I6+32</f>
        <v>43344</v>
      </c>
      <c r="AN6" s="4"/>
      <c r="AO6">
        <v>142366932</v>
      </c>
      <c r="AP6" t="s">
        <v>90</v>
      </c>
      <c r="AQ6" t="s">
        <v>71</v>
      </c>
      <c r="AR6" t="s">
        <v>59</v>
      </c>
      <c r="AS6" s="4">
        <v>45747</v>
      </c>
      <c r="AT6">
        <v>500000</v>
      </c>
      <c r="AU6" t="s">
        <v>72</v>
      </c>
      <c r="AV6" s="4">
        <f t="shared" si="1"/>
        <v>43344</v>
      </c>
      <c r="AW6" s="1"/>
    </row>
    <row r="7" spans="1:49">
      <c r="A7">
        <v>2300</v>
      </c>
      <c r="B7">
        <v>5000000</v>
      </c>
      <c r="C7" t="s">
        <v>91</v>
      </c>
      <c r="D7" s="3">
        <v>10.005479452054795</v>
      </c>
      <c r="E7" s="4">
        <v>46499</v>
      </c>
      <c r="F7" s="5" t="s">
        <v>50</v>
      </c>
      <c r="G7" s="4">
        <v>31181</v>
      </c>
      <c r="H7" t="s">
        <v>51</v>
      </c>
      <c r="I7" s="4">
        <v>42847</v>
      </c>
      <c r="T7" t="s">
        <v>52</v>
      </c>
      <c r="U7" s="4">
        <f t="shared" si="0"/>
        <v>42847</v>
      </c>
      <c r="V7" t="s">
        <v>53</v>
      </c>
      <c r="W7">
        <v>0</v>
      </c>
      <c r="X7">
        <v>0</v>
      </c>
      <c r="Y7" t="s">
        <v>54</v>
      </c>
      <c r="AJ7" t="s">
        <v>55</v>
      </c>
      <c r="AK7" s="4">
        <f>E7</f>
        <v>46499</v>
      </c>
      <c r="AL7" t="s">
        <v>92</v>
      </c>
      <c r="AM7" s="4">
        <f>I7+6</f>
        <v>42853</v>
      </c>
      <c r="AN7" s="4">
        <v>44705</v>
      </c>
      <c r="AO7">
        <v>142366914</v>
      </c>
      <c r="AP7" t="s">
        <v>57</v>
      </c>
      <c r="AQ7" t="s">
        <v>58</v>
      </c>
      <c r="AS7" s="4">
        <v>45747</v>
      </c>
      <c r="AT7">
        <v>250000</v>
      </c>
      <c r="AU7" t="s">
        <v>60</v>
      </c>
      <c r="AV7" s="4">
        <f t="shared" si="1"/>
        <v>42853</v>
      </c>
      <c r="AW7" t="s">
        <v>57</v>
      </c>
    </row>
    <row r="8" spans="1:49">
      <c r="A8">
        <v>15248</v>
      </c>
      <c r="C8" t="s">
        <v>93</v>
      </c>
      <c r="D8" s="3">
        <v>15.05</v>
      </c>
      <c r="E8" s="4">
        <v>49099</v>
      </c>
      <c r="F8" s="5" t="s">
        <v>50</v>
      </c>
      <c r="G8" s="4">
        <v>31181</v>
      </c>
      <c r="H8" t="s">
        <v>51</v>
      </c>
      <c r="I8" s="4">
        <v>43620</v>
      </c>
      <c r="T8" t="s">
        <v>84</v>
      </c>
      <c r="U8" s="4">
        <f t="shared" si="0"/>
        <v>43620</v>
      </c>
      <c r="V8" t="s">
        <v>53</v>
      </c>
      <c r="W8">
        <v>0</v>
      </c>
      <c r="X8">
        <v>0</v>
      </c>
      <c r="Y8" t="s">
        <v>77</v>
      </c>
      <c r="AJ8" t="s">
        <v>55</v>
      </c>
      <c r="AK8" s="4">
        <f>E8</f>
        <v>49099</v>
      </c>
      <c r="AL8" t="s">
        <v>94</v>
      </c>
      <c r="AM8" s="4">
        <f>I8+35</f>
        <v>43655</v>
      </c>
      <c r="AN8" s="4">
        <f>U8</f>
        <v>43620</v>
      </c>
      <c r="AO8">
        <v>142366915</v>
      </c>
      <c r="AP8" t="s">
        <v>57</v>
      </c>
      <c r="AQ8" t="s">
        <v>58</v>
      </c>
      <c r="AS8" s="4">
        <v>45747</v>
      </c>
      <c r="AT8">
        <v>500000</v>
      </c>
      <c r="AU8" t="s">
        <v>60</v>
      </c>
      <c r="AV8" s="4">
        <f t="shared" si="1"/>
        <v>43655</v>
      </c>
      <c r="AW8" t="s">
        <v>57</v>
      </c>
    </row>
    <row r="9" spans="1:49">
      <c r="A9" s="6">
        <v>25420</v>
      </c>
      <c r="B9" s="6">
        <f>A9*11.25</f>
        <v>285975</v>
      </c>
      <c r="C9" s="6" t="s">
        <v>62</v>
      </c>
      <c r="D9" s="7">
        <v>25.016438356164382</v>
      </c>
      <c r="E9" s="8">
        <v>51207</v>
      </c>
      <c r="F9" s="9" t="s">
        <v>75</v>
      </c>
      <c r="G9" s="8"/>
      <c r="H9" s="6" t="s">
        <v>64</v>
      </c>
      <c r="I9" s="8">
        <v>43902</v>
      </c>
      <c r="J9" s="6"/>
      <c r="K9" s="6"/>
      <c r="L9" s="6"/>
      <c r="M9" s="6"/>
      <c r="N9" s="6"/>
      <c r="O9" s="6"/>
      <c r="P9" s="6"/>
      <c r="Q9" s="6"/>
      <c r="R9" s="6"/>
      <c r="S9" s="6"/>
      <c r="T9" s="6" t="s">
        <v>65</v>
      </c>
      <c r="U9" s="8">
        <f t="shared" si="0"/>
        <v>43902</v>
      </c>
      <c r="V9" s="6" t="s">
        <v>53</v>
      </c>
      <c r="W9" s="6">
        <v>0</v>
      </c>
      <c r="X9" s="6">
        <v>0</v>
      </c>
      <c r="Y9" s="6" t="s">
        <v>54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 t="s">
        <v>95</v>
      </c>
      <c r="AK9" s="8">
        <f>E9</f>
        <v>51207</v>
      </c>
      <c r="AL9" t="s">
        <v>69</v>
      </c>
      <c r="AM9" s="8">
        <f>I9+10</f>
        <v>43912</v>
      </c>
      <c r="AN9" s="8">
        <v>39592</v>
      </c>
      <c r="AO9" s="6">
        <v>142366920</v>
      </c>
      <c r="AP9" s="6" t="s">
        <v>57</v>
      </c>
      <c r="AQ9" s="6" t="s">
        <v>96</v>
      </c>
      <c r="AR9" s="6"/>
      <c r="AS9" s="8">
        <v>45747</v>
      </c>
      <c r="AT9" s="6"/>
      <c r="AU9" s="6"/>
      <c r="AV9" s="8">
        <f t="shared" si="1"/>
        <v>43912</v>
      </c>
      <c r="AW9" t="s">
        <v>57</v>
      </c>
    </row>
    <row r="10" spans="1:49">
      <c r="A10">
        <v>1250</v>
      </c>
      <c r="B10">
        <f>A9</f>
        <v>25420</v>
      </c>
      <c r="C10" t="s">
        <v>97</v>
      </c>
      <c r="D10" s="3">
        <v>25.016438356164382</v>
      </c>
      <c r="E10" s="4">
        <v>51207</v>
      </c>
      <c r="F10" s="5" t="s">
        <v>75</v>
      </c>
      <c r="G10" s="4">
        <v>27894</v>
      </c>
      <c r="H10" t="s">
        <v>64</v>
      </c>
      <c r="I10" s="4">
        <v>43902</v>
      </c>
      <c r="T10" t="s">
        <v>65</v>
      </c>
      <c r="U10" s="4">
        <f t="shared" si="0"/>
        <v>43902</v>
      </c>
      <c r="V10" t="s">
        <v>53</v>
      </c>
      <c r="W10">
        <v>0</v>
      </c>
      <c r="X10">
        <v>0</v>
      </c>
      <c r="Y10" t="s">
        <v>54</v>
      </c>
      <c r="AJ10" t="s">
        <v>95</v>
      </c>
      <c r="AK10" s="4">
        <f>E10</f>
        <v>51207</v>
      </c>
      <c r="AL10" t="s">
        <v>98</v>
      </c>
      <c r="AM10" s="4">
        <f>I10+10</f>
        <v>43912</v>
      </c>
      <c r="AN10" s="4">
        <f>U10</f>
        <v>43902</v>
      </c>
      <c r="AO10">
        <v>142366920</v>
      </c>
      <c r="AP10" t="s">
        <v>57</v>
      </c>
      <c r="AQ10" t="s">
        <v>96</v>
      </c>
      <c r="AS10" s="4">
        <v>45747</v>
      </c>
      <c r="AV10" s="4">
        <f t="shared" si="1"/>
        <v>43912</v>
      </c>
      <c r="AW10" t="s">
        <v>57</v>
      </c>
    </row>
    <row r="11" spans="1:49">
      <c r="A11">
        <v>5240</v>
      </c>
      <c r="B11">
        <v>1000000</v>
      </c>
      <c r="C11" t="s">
        <v>93</v>
      </c>
      <c r="D11" s="3">
        <v>15.05</v>
      </c>
      <c r="E11" s="4">
        <v>49424</v>
      </c>
      <c r="F11" s="5" t="s">
        <v>75</v>
      </c>
      <c r="G11" s="4">
        <v>27894</v>
      </c>
      <c r="H11" t="s">
        <v>64</v>
      </c>
      <c r="I11" s="4">
        <v>43946</v>
      </c>
      <c r="T11" t="s">
        <v>65</v>
      </c>
      <c r="U11" s="4">
        <f t="shared" si="0"/>
        <v>43946</v>
      </c>
      <c r="V11" t="s">
        <v>53</v>
      </c>
      <c r="W11">
        <v>0</v>
      </c>
      <c r="X11">
        <v>0</v>
      </c>
      <c r="Y11" t="s">
        <v>77</v>
      </c>
      <c r="AJ11" t="s">
        <v>95</v>
      </c>
      <c r="AK11" s="4">
        <f>E11</f>
        <v>49424</v>
      </c>
      <c r="AL11" t="s">
        <v>94</v>
      </c>
      <c r="AM11" s="4">
        <f>I11+25</f>
        <v>43971</v>
      </c>
      <c r="AN11" s="4">
        <f>U11</f>
        <v>43946</v>
      </c>
      <c r="AO11">
        <v>142366920</v>
      </c>
      <c r="AP11" t="s">
        <v>57</v>
      </c>
      <c r="AQ11" t="s">
        <v>96</v>
      </c>
      <c r="AR11" t="s">
        <v>59</v>
      </c>
      <c r="AS11" s="4">
        <v>45747</v>
      </c>
      <c r="AV11" s="4">
        <f t="shared" si="1"/>
        <v>43971</v>
      </c>
      <c r="AW11" s="1"/>
    </row>
    <row r="12" spans="1:49">
      <c r="A12" s="6">
        <v>85748</v>
      </c>
      <c r="B12" s="6">
        <f>A12*9.75</f>
        <v>836043</v>
      </c>
      <c r="C12" s="6" t="s">
        <v>99</v>
      </c>
      <c r="D12" s="7">
        <v>5.0199999999999996</v>
      </c>
      <c r="E12" s="8">
        <v>46082</v>
      </c>
      <c r="F12" s="9" t="s">
        <v>100</v>
      </c>
      <c r="G12" s="8">
        <v>31911</v>
      </c>
      <c r="H12" s="6" t="s">
        <v>64</v>
      </c>
      <c r="I12" s="8">
        <v>44256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 t="s">
        <v>65</v>
      </c>
      <c r="U12" s="8">
        <f t="shared" si="0"/>
        <v>44256</v>
      </c>
      <c r="V12" s="6" t="s">
        <v>66</v>
      </c>
      <c r="W12" s="6">
        <v>0</v>
      </c>
      <c r="X12" s="6">
        <v>0</v>
      </c>
      <c r="Y12" s="6" t="s">
        <v>54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 t="s">
        <v>95</v>
      </c>
      <c r="AK12" s="8">
        <v>49735</v>
      </c>
      <c r="AL12" t="s">
        <v>101</v>
      </c>
      <c r="AM12" s="8">
        <f>I12+10</f>
        <v>44266</v>
      </c>
      <c r="AN12" s="8">
        <v>45505</v>
      </c>
      <c r="AO12" s="6">
        <v>142366934</v>
      </c>
      <c r="AP12" s="6" t="s">
        <v>102</v>
      </c>
      <c r="AQ12" s="6" t="s">
        <v>103</v>
      </c>
      <c r="AR12" s="6"/>
      <c r="AS12" s="8">
        <v>45747</v>
      </c>
      <c r="AT12" s="6"/>
      <c r="AU12" s="6" t="s">
        <v>104</v>
      </c>
      <c r="AV12" s="8">
        <f>U12</f>
        <v>44256</v>
      </c>
      <c r="AW12" t="s">
        <v>102</v>
      </c>
    </row>
    <row r="14" spans="1:49"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 To do</vt:lpstr>
      <vt:lpstr>March 25</vt:lpstr>
      <vt:lpstr>April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HP</cp:lastModifiedBy>
  <dcterms:created xsi:type="dcterms:W3CDTF">2026-09-05T15:51:17Z</dcterms:created>
  <dcterms:modified xsi:type="dcterms:W3CDTF">2026-09-17T03:43:33Z</dcterms:modified>
</cp:coreProperties>
</file>